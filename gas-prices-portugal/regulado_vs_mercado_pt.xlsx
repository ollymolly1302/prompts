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do vs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-yyyy"/>
    <numFmt numFmtId="166" formatCode="+0.00;-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  <color rgb="001F3864"/>
      <sz val="11"/>
    </font>
    <font>
      <b val="1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Gás natural em Portugal — MIBGAS VTP vs Custo regulado CURg (€/MWh)</a:t>
            </a:r>
          </a:p>
        </rich>
      </tx>
    </title>
    <plotArea>
      <lineChart>
        <grouping val="standard"/>
        <ser>
          <idx val="0"/>
          <order val="0"/>
          <tx>
            <strRef>
              <f>'Regulado vs Mercado'!C4</f>
            </strRef>
          </tx>
          <spPr>
            <a:solidFill>
              <a:srgbClr val="1F3864"/>
            </a:solidFill>
            <a:ln w="24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'Regulado vs Mercado'!$B$5:$B$32</f>
            </numRef>
          </cat>
          <val>
            <numRef>
              <f>'Regulado vs Mercado'!$C$5:$C$32</f>
            </numRef>
          </val>
        </ser>
        <ser>
          <idx val="1"/>
          <order val="1"/>
          <tx>
            <strRef>
              <f>'Regulado vs Mercado'!D4</f>
            </strRef>
          </tx>
          <spPr>
            <a:solidFill>
              <a:srgbClr val="C55A11"/>
            </a:solidFill>
            <a:ln w="24000"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'Regulado vs Mercado'!$B$5:$B$32</f>
            </numRef>
          </cat>
          <val>
            <numRef>
              <f>'Regulado vs Mercado'!$D$5:$D$32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82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bgas.es/en/file-access" TargetMode="External" Id="rId1" /><Relationship Type="http://schemas.openxmlformats.org/officeDocument/2006/relationships/hyperlink" Target="https://www.mibgas.es/en/file-access/MIBGAS_Data_2024.xlsx?path=AGNO_2024/XLS" TargetMode="External" Id="rId2" /><Relationship Type="http://schemas.openxmlformats.org/officeDocument/2006/relationships/hyperlink" Target="https://www.mibgas.es/en/file-access/MIBGAS_Data_2025.xlsx?path=AGNO_2025/XLS" TargetMode="External" Id="rId3" /><Relationship Type="http://schemas.openxmlformats.org/officeDocument/2006/relationships/hyperlink" Target="https://www.mibgas.es/en/file-access/MIBGAS_Data_2026.xlsx?path=AGNO_2026/XLS" TargetMode="External" Id="rId4" /><Relationship Type="http://schemas.openxmlformats.org/officeDocument/2006/relationships/hyperlink" Target="https://www.erse.pt/media/h2qlqoc0/tarifas-g-2023-2024.pdf" TargetMode="External" Id="rId5" /><Relationship Type="http://schemas.openxmlformats.org/officeDocument/2006/relationships/hyperlink" Target="https://www.erse.pt/media/ez4p0ogu/tep-g%C3%A1s-2024-2025.pdf" TargetMode="External" Id="rId6" /><Relationship Type="http://schemas.openxmlformats.org/officeDocument/2006/relationships/hyperlink" Target="https://www.erse.pt/media/ssbndzo1/tep-g%C3%A1s-2025-2026.pdf" TargetMode="External" Id="rId7" /><Relationship Type="http://schemas.openxmlformats.org/officeDocument/2006/relationships/hyperlink" Target="https://www.erse.pt/media/jfabvzsd/boletim_commodities_4t2025.pdf" TargetMode="External" Id="rId8" /><Relationship Type="http://schemas.openxmlformats.org/officeDocument/2006/relationships/hyperlink" Target="https://www.erse.pt/atividade/regulacao/tarifas-e-precos-gas-natural/" TargetMode="External" Id="rId9" /><Relationship Type="http://schemas.openxmlformats.org/officeDocument/2006/relationships/drawing" Target="/xl/drawings/drawing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  <col width="20" customWidth="1" min="5" max="5"/>
  </cols>
  <sheetData>
    <row r="1">
      <c r="A1" s="1" t="inlineStr">
        <is>
          <t>Gás natural em Portugal — Mercado regulado vs. mercado livre (custo grossista)</t>
        </is>
      </c>
    </row>
    <row r="2">
      <c r="A2" s="2" t="inlineStr">
        <is>
          <t>Período: jan-2024 a abr-2026 | Unidade: €/MWh (sem custos de ATR)</t>
        </is>
      </c>
    </row>
    <row r="4" ht="32" customHeight="1">
      <c r="A4" s="3" t="inlineStr">
        <is>
          <t>Mês</t>
        </is>
      </c>
      <c r="B4" s="3" t="inlineStr">
        <is>
          <t>Data</t>
        </is>
      </c>
      <c r="C4" s="3" t="inlineStr">
        <is>
          <t>MIBGAS VTP (€/MWh)</t>
        </is>
      </c>
      <c r="D4" s="3" t="inlineStr">
        <is>
          <t>CURg — custo regulado (€/MWh)</t>
        </is>
      </c>
      <c r="E4" s="3" t="inlineStr">
        <is>
          <t>Diferencial (€/MWh)</t>
        </is>
      </c>
    </row>
    <row r="5">
      <c r="A5" s="4" t="inlineStr">
        <is>
          <t>jan-2024</t>
        </is>
      </c>
      <c r="B5" s="5" t="n">
        <v>45292</v>
      </c>
      <c r="C5" s="6" t="n">
        <v>30.03</v>
      </c>
      <c r="D5" s="6" t="n">
        <v>20.858</v>
      </c>
      <c r="E5" s="7" t="n">
        <v>9.17</v>
      </c>
    </row>
    <row r="6">
      <c r="A6" s="4" t="inlineStr">
        <is>
          <t>fev-2024</t>
        </is>
      </c>
      <c r="B6" s="5" t="n">
        <v>45323</v>
      </c>
      <c r="C6" s="6" t="n">
        <v>25.38</v>
      </c>
      <c r="D6" s="6" t="n">
        <v>20.858</v>
      </c>
      <c r="E6" s="7" t="n">
        <v>4.52</v>
      </c>
    </row>
    <row r="7">
      <c r="A7" s="4" t="inlineStr">
        <is>
          <t>mar-2024</t>
        </is>
      </c>
      <c r="B7" s="5" t="n">
        <v>45352</v>
      </c>
      <c r="C7" s="6" t="n">
        <v>26.98</v>
      </c>
      <c r="D7" s="6" t="n">
        <v>20.858</v>
      </c>
      <c r="E7" s="7" t="n">
        <v>6.12</v>
      </c>
    </row>
    <row r="8">
      <c r="A8" s="4" t="inlineStr">
        <is>
          <t>abr-2024</t>
        </is>
      </c>
      <c r="B8" s="5" t="n">
        <v>45383</v>
      </c>
      <c r="C8" s="6" t="n">
        <v>29.18</v>
      </c>
      <c r="D8" s="6" t="n">
        <v>20.858</v>
      </c>
      <c r="E8" s="7" t="n">
        <v>8.32</v>
      </c>
    </row>
    <row r="9">
      <c r="A9" s="4" t="inlineStr">
        <is>
          <t>mai-2024</t>
        </is>
      </c>
      <c r="B9" s="5" t="n">
        <v>45413</v>
      </c>
      <c r="C9" s="6" t="n">
        <v>31.93</v>
      </c>
      <c r="D9" s="6" t="n">
        <v>20.858</v>
      </c>
      <c r="E9" s="7" t="n">
        <v>11.07</v>
      </c>
    </row>
    <row r="10">
      <c r="A10" s="4" t="inlineStr">
        <is>
          <t>jun-2024</t>
        </is>
      </c>
      <c r="B10" s="5" t="n">
        <v>45444</v>
      </c>
      <c r="C10" s="6" t="n">
        <v>34.65</v>
      </c>
      <c r="D10" s="6" t="n">
        <v>20.858</v>
      </c>
      <c r="E10" s="7" t="n">
        <v>13.79</v>
      </c>
    </row>
    <row r="11">
      <c r="A11" s="4" t="inlineStr">
        <is>
          <t>jul-2024</t>
        </is>
      </c>
      <c r="B11" s="5" t="n">
        <v>45474</v>
      </c>
      <c r="C11" s="6" t="n">
        <v>32.48</v>
      </c>
      <c r="D11" s="6" t="n">
        <v>20.858</v>
      </c>
      <c r="E11" s="7" t="n">
        <v>11.62</v>
      </c>
    </row>
    <row r="12">
      <c r="A12" s="4" t="inlineStr">
        <is>
          <t>ago-2024</t>
        </is>
      </c>
      <c r="B12" s="5" t="n">
        <v>45505</v>
      </c>
      <c r="C12" s="6" t="n">
        <v>38.71</v>
      </c>
      <c r="D12" s="6" t="n">
        <v>20.858</v>
      </c>
      <c r="E12" s="7" t="n">
        <v>17.85</v>
      </c>
    </row>
    <row r="13">
      <c r="A13" s="4" t="inlineStr">
        <is>
          <t>set-2024</t>
        </is>
      </c>
      <c r="B13" s="5" t="n">
        <v>45536</v>
      </c>
      <c r="C13" s="6" t="n">
        <v>36.73</v>
      </c>
      <c r="D13" s="6" t="n">
        <v>20.858</v>
      </c>
      <c r="E13" s="7" t="n">
        <v>15.87</v>
      </c>
    </row>
    <row r="14">
      <c r="A14" s="4" t="inlineStr">
        <is>
          <t>out-2024</t>
        </is>
      </c>
      <c r="B14" s="5" t="n">
        <v>45566</v>
      </c>
      <c r="C14" s="6" t="n">
        <v>40.26</v>
      </c>
      <c r="D14" s="6" t="n">
        <v>21.47</v>
      </c>
      <c r="E14" s="7" t="n">
        <v>18.79</v>
      </c>
    </row>
    <row r="15">
      <c r="A15" s="4" t="inlineStr">
        <is>
          <t>nov-2024</t>
        </is>
      </c>
      <c r="B15" s="5" t="n">
        <v>45597</v>
      </c>
      <c r="C15" s="6" t="n">
        <v>44.25</v>
      </c>
      <c r="D15" s="6" t="n">
        <v>21.47</v>
      </c>
      <c r="E15" s="7" t="n">
        <v>22.78</v>
      </c>
    </row>
    <row r="16">
      <c r="A16" s="4" t="inlineStr">
        <is>
          <t>dez-2024</t>
        </is>
      </c>
      <c r="B16" s="5" t="n">
        <v>45627</v>
      </c>
      <c r="C16" s="6" t="n">
        <v>46.16</v>
      </c>
      <c r="D16" s="6" t="n">
        <v>21.47</v>
      </c>
      <c r="E16" s="7" t="n">
        <v>24.69</v>
      </c>
    </row>
    <row r="17">
      <c r="A17" s="4" t="inlineStr">
        <is>
          <t>jan-2025</t>
        </is>
      </c>
      <c r="B17" s="5" t="n">
        <v>45658</v>
      </c>
      <c r="C17" s="6" t="n">
        <v>48.5</v>
      </c>
      <c r="D17" s="6" t="n">
        <v>21.47</v>
      </c>
      <c r="E17" s="7" t="n">
        <v>27.03</v>
      </c>
    </row>
    <row r="18">
      <c r="A18" s="4" t="inlineStr">
        <is>
          <t>fev-2025</t>
        </is>
      </c>
      <c r="B18" s="5" t="n">
        <v>45689</v>
      </c>
      <c r="C18" s="6" t="n">
        <v>50.5</v>
      </c>
      <c r="D18" s="6" t="n">
        <v>21.47</v>
      </c>
      <c r="E18" s="7" t="n">
        <v>29.03</v>
      </c>
    </row>
    <row r="19">
      <c r="A19" s="4" t="inlineStr">
        <is>
          <t>mar-2025</t>
        </is>
      </c>
      <c r="B19" s="5" t="n">
        <v>45717</v>
      </c>
      <c r="C19" s="6" t="n">
        <v>41.56</v>
      </c>
      <c r="D19" s="6" t="n">
        <v>21.47</v>
      </c>
      <c r="E19" s="7" t="n">
        <v>20.09</v>
      </c>
    </row>
    <row r="20">
      <c r="A20" s="4" t="inlineStr">
        <is>
          <t>abr-2025</t>
        </is>
      </c>
      <c r="B20" s="5" t="n">
        <v>45748</v>
      </c>
      <c r="C20" s="6" t="n">
        <v>33.71</v>
      </c>
      <c r="D20" s="6" t="n">
        <v>21.47</v>
      </c>
      <c r="E20" s="7" t="n">
        <v>12.24</v>
      </c>
    </row>
    <row r="21">
      <c r="A21" s="4" t="inlineStr">
        <is>
          <t>mai-2025</t>
        </is>
      </c>
      <c r="B21" s="5" t="n">
        <v>45778</v>
      </c>
      <c r="C21" s="6" t="n">
        <v>34.25</v>
      </c>
      <c r="D21" s="6" t="n">
        <v>21.47</v>
      </c>
      <c r="E21" s="7" t="n">
        <v>12.78</v>
      </c>
    </row>
    <row r="22">
      <c r="A22" s="4" t="inlineStr">
        <is>
          <t>jun-2025</t>
        </is>
      </c>
      <c r="B22" s="5" t="n">
        <v>45809</v>
      </c>
      <c r="C22" s="6" t="n">
        <v>36.74</v>
      </c>
      <c r="D22" s="6" t="n">
        <v>21.47</v>
      </c>
      <c r="E22" s="7" t="n">
        <v>15.27</v>
      </c>
    </row>
    <row r="23">
      <c r="A23" s="4" t="inlineStr">
        <is>
          <t>jul-2025</t>
        </is>
      </c>
      <c r="B23" s="5" t="n">
        <v>45839</v>
      </c>
      <c r="C23" s="6" t="n">
        <v>34.18</v>
      </c>
      <c r="D23" s="6" t="n">
        <v>21.47</v>
      </c>
      <c r="E23" s="7" t="n">
        <v>12.71</v>
      </c>
    </row>
    <row r="24">
      <c r="A24" s="4" t="inlineStr">
        <is>
          <t>ago-2025</t>
        </is>
      </c>
      <c r="B24" s="5" t="n">
        <v>45870</v>
      </c>
      <c r="C24" s="6" t="n">
        <v>32.39</v>
      </c>
      <c r="D24" s="6" t="n">
        <v>21.47</v>
      </c>
      <c r="E24" s="7" t="n">
        <v>10.92</v>
      </c>
    </row>
    <row r="25">
      <c r="A25" s="4" t="inlineStr">
        <is>
          <t>set-2025</t>
        </is>
      </c>
      <c r="B25" s="5" t="n">
        <v>45901</v>
      </c>
      <c r="C25" s="6" t="n">
        <v>31.89</v>
      </c>
      <c r="D25" s="6" t="n">
        <v>21.47</v>
      </c>
      <c r="E25" s="7" t="n">
        <v>10.42</v>
      </c>
    </row>
    <row r="26">
      <c r="A26" s="4" t="inlineStr">
        <is>
          <t>out-2025</t>
        </is>
      </c>
      <c r="B26" s="5" t="n">
        <v>45931</v>
      </c>
      <c r="C26" s="6" t="n">
        <v>31.44</v>
      </c>
      <c r="D26" s="6" t="n">
        <v>18.687</v>
      </c>
      <c r="E26" s="7" t="n">
        <v>12.75</v>
      </c>
    </row>
    <row r="27">
      <c r="A27" s="4" t="inlineStr">
        <is>
          <t>nov-2025</t>
        </is>
      </c>
      <c r="B27" s="5" t="n">
        <v>45962</v>
      </c>
      <c r="C27" s="6" t="n">
        <v>30.04</v>
      </c>
      <c r="D27" s="6" t="n">
        <v>18.687</v>
      </c>
      <c r="E27" s="7" t="n">
        <v>11.35</v>
      </c>
    </row>
    <row r="28">
      <c r="A28" s="4" t="inlineStr">
        <is>
          <t>dez-2025</t>
        </is>
      </c>
      <c r="B28" s="5" t="n">
        <v>45992</v>
      </c>
      <c r="C28" s="6" t="n">
        <v>27.96</v>
      </c>
      <c r="D28" s="6" t="n">
        <v>18.687</v>
      </c>
      <c r="E28" s="7" t="n">
        <v>9.27</v>
      </c>
    </row>
    <row r="29">
      <c r="A29" s="4" t="inlineStr">
        <is>
          <t>jan-2026</t>
        </is>
      </c>
      <c r="B29" s="5" t="n">
        <v>46023</v>
      </c>
      <c r="C29" s="6" t="n">
        <v>35.82</v>
      </c>
      <c r="D29" s="6" t="n">
        <v>18.687</v>
      </c>
      <c r="E29" s="7" t="n">
        <v>17.13</v>
      </c>
    </row>
    <row r="30">
      <c r="A30" s="4" t="inlineStr">
        <is>
          <t>fev-2026</t>
        </is>
      </c>
      <c r="B30" s="5" t="n">
        <v>46054</v>
      </c>
      <c r="C30" s="6" t="n">
        <v>31.35</v>
      </c>
      <c r="D30" s="6" t="n">
        <v>18.687</v>
      </c>
      <c r="E30" s="7" t="n">
        <v>12.66</v>
      </c>
    </row>
    <row r="31">
      <c r="A31" s="4" t="inlineStr">
        <is>
          <t>mar-2026</t>
        </is>
      </c>
      <c r="B31" s="5" t="n">
        <v>46082</v>
      </c>
      <c r="C31" s="6" t="n">
        <v>53.02</v>
      </c>
      <c r="D31" s="6" t="n">
        <v>18.687</v>
      </c>
      <c r="E31" s="7" t="n">
        <v>34.33</v>
      </c>
    </row>
    <row r="32">
      <c r="A32" s="4" t="inlineStr">
        <is>
          <t>abr-2026</t>
        </is>
      </c>
      <c r="B32" s="5" t="n">
        <v>46113</v>
      </c>
      <c r="C32" s="6" t="n">
        <v>44.02</v>
      </c>
      <c r="D32" s="6" t="n">
        <v>18.687</v>
      </c>
      <c r="E32" s="7" t="n">
        <v>25.33</v>
      </c>
    </row>
    <row r="34">
      <c r="A34" s="8" t="inlineStr">
        <is>
          <t>Médias anuais</t>
        </is>
      </c>
    </row>
    <row r="35">
      <c r="A35" s="9" t="inlineStr">
        <is>
          <t>2024</t>
        </is>
      </c>
      <c r="C35" s="10" t="n">
        <v>34.73</v>
      </c>
      <c r="D35" s="10" t="n">
        <v>21.01</v>
      </c>
      <c r="E35" s="11" t="n">
        <v>13.72</v>
      </c>
    </row>
    <row r="36">
      <c r="A36" s="9" t="inlineStr">
        <is>
          <t>2025</t>
        </is>
      </c>
      <c r="C36" s="10" t="n">
        <v>36.1</v>
      </c>
      <c r="D36" s="10" t="n">
        <v>20.77</v>
      </c>
      <c r="E36" s="11" t="n">
        <v>15.32</v>
      </c>
    </row>
    <row r="37">
      <c r="A37" s="9" t="inlineStr">
        <is>
          <t>2026 (4 meses — ano parcial)</t>
        </is>
      </c>
      <c r="C37" s="10" t="n">
        <v>41.05</v>
      </c>
      <c r="D37" s="10" t="n">
        <v>18.69</v>
      </c>
      <c r="E37" s="11" t="n">
        <v>22.37</v>
      </c>
    </row>
    <row r="39">
      <c r="A39" s="8" t="inlineStr">
        <is>
          <t>Notas metodológicas</t>
        </is>
      </c>
    </row>
    <row r="40" ht="30" customHeight="1">
      <c r="A40" s="12" t="inlineStr">
        <is>
          <t>• MIBGAS VTP: preço médio mensal do produto Day-Ahead (D+1) com entrega no Ponto Virtual de Troca (Portugal). Reflete o custo de aquisição grossista no mercado livre ibérico.</t>
        </is>
      </c>
    </row>
    <row r="41" ht="30" customHeight="1">
      <c r="A41" s="12" t="inlineStr">
        <is>
          <t>• CURg: custo unitário de aquisição do gás natural pelo Comercializador de Último Recurso Grossista, conforme aprovado pela ERSE para cada ano gás (out → set).</t>
        </is>
      </c>
    </row>
    <row r="42" ht="30" customHeight="1">
      <c r="A42" s="12" t="inlineStr">
        <is>
          <t>• Steps CURg: 20,86 €/MWh (ano gás 2023-24) → 21,47 (ano gás 2024-25) → 18,69 (ano gás 2025-26, válido até set-2026).</t>
        </is>
      </c>
    </row>
    <row r="43" ht="30" customHeight="1">
      <c r="A43" s="12" t="inlineStr">
        <is>
          <t>• Ambos os valores são "sem ATR" (sem custos de Acesso às Redes), pelo que são diretamente comparáveis ao nível grossista.</t>
        </is>
      </c>
    </row>
    <row r="44" ht="30" customHeight="1">
      <c r="A44" s="12" t="inlineStr">
        <is>
          <t>• Diferencial positivo = mercado livre mais caro que o custo regulado.</t>
        </is>
      </c>
    </row>
    <row r="45" ht="30" customHeight="1">
      <c r="A45" s="12" t="inlineStr">
        <is>
          <t>• O custo do CURg é mais baixo e estável porque o gás é comprado via contrato take-or-pay com a Nigéria, indexado ao Brent (com desfasamento ~6 meses), não ao spot ibérico.</t>
        </is>
      </c>
    </row>
    <row r="46" ht="30" customHeight="1">
      <c r="A46" s="12" t="inlineStr">
        <is>
          <t>• Importante: estes são custos GROSSISTAS, não preços finais ao consumidor. O retalho inclui ainda tarifas de acesso (URD+URT), comercialização e impostos (ISP, CESE, IVA).</t>
        </is>
      </c>
    </row>
    <row r="48">
      <c r="A48" s="8" t="inlineStr">
        <is>
          <t>Fontes oficiais</t>
        </is>
      </c>
    </row>
    <row r="49">
      <c r="A49" s="13" t="inlineStr">
        <is>
          <t>MIBGAS — Ficheiros oficiais de dados anuais (PVB &amp; VTP)</t>
        </is>
      </c>
    </row>
    <row r="50">
      <c r="A50" s="13" t="inlineStr">
        <is>
          <t xml:space="preserve">  • MIBGAS_Data_2024.xlsx</t>
        </is>
      </c>
    </row>
    <row r="51">
      <c r="A51" s="13" t="inlineStr">
        <is>
          <t xml:space="preserve">  • MIBGAS_Data_2025.xlsx</t>
        </is>
      </c>
    </row>
    <row r="52">
      <c r="A52" s="13" t="inlineStr">
        <is>
          <t xml:space="preserve">  • MIBGAS_Data_2026.xlsx (atualizado)</t>
        </is>
      </c>
    </row>
    <row r="53">
      <c r="A53" s="13" t="inlineStr">
        <is>
          <t>ERSE — TEP Gás 2023-24 (Quadro 2-3)</t>
        </is>
      </c>
    </row>
    <row r="54">
      <c r="A54" s="13" t="inlineStr">
        <is>
          <t>ERSE — TEP Gás 2024-25</t>
        </is>
      </c>
    </row>
    <row r="55">
      <c r="A55" s="13" t="inlineStr">
        <is>
          <t>ERSE — TEP Gás 2025-26 (Quadro 0-13)</t>
        </is>
      </c>
    </row>
    <row r="56">
      <c r="A56" s="13" t="inlineStr">
        <is>
          <t>ERSE — Boletim Commodities 4T 2025 (Figura 1-8)</t>
        </is>
      </c>
    </row>
    <row r="57">
      <c r="A57" s="13" t="inlineStr">
        <is>
          <t>ERSE — Tarifas e Preços do Gás (página geral)</t>
        </is>
      </c>
    </row>
  </sheetData>
  <mergeCells count="18">
    <mergeCell ref="A44:J44"/>
    <mergeCell ref="A45:J45"/>
    <mergeCell ref="A46:J46"/>
    <mergeCell ref="A2:E2"/>
    <mergeCell ref="A40:J40"/>
    <mergeCell ref="A56:J56"/>
    <mergeCell ref="A53:J53"/>
    <mergeCell ref="A55:J55"/>
    <mergeCell ref="A50:J50"/>
    <mergeCell ref="A1:E1"/>
    <mergeCell ref="A43:J43"/>
    <mergeCell ref="A51:J51"/>
    <mergeCell ref="A54:J54"/>
    <mergeCell ref="A57:J57"/>
    <mergeCell ref="A52:J52"/>
    <mergeCell ref="A42:J42"/>
    <mergeCell ref="A41:J41"/>
    <mergeCell ref="A49:J49"/>
  </mergeCells>
  <hyperlinks>
    <hyperlink xmlns:r="http://schemas.openxmlformats.org/officeDocument/2006/relationships" ref="A49" r:id="rId1"/>
    <hyperlink xmlns:r="http://schemas.openxmlformats.org/officeDocument/2006/relationships" ref="A50" r:id="rId2"/>
    <hyperlink xmlns:r="http://schemas.openxmlformats.org/officeDocument/2006/relationships" ref="A51" r:id="rId3"/>
    <hyperlink xmlns:r="http://schemas.openxmlformats.org/officeDocument/2006/relationships" ref="A52" r:id="rId4"/>
    <hyperlink xmlns:r="http://schemas.openxmlformats.org/officeDocument/2006/relationships" ref="A53" r:id="rId5"/>
    <hyperlink xmlns:r="http://schemas.openxmlformats.org/officeDocument/2006/relationships" ref="A54" r:id="rId6"/>
    <hyperlink xmlns:r="http://schemas.openxmlformats.org/officeDocument/2006/relationships" ref="A55" r:id="rId7"/>
    <hyperlink xmlns:r="http://schemas.openxmlformats.org/officeDocument/2006/relationships" ref="A56" r:id="rId8"/>
    <hyperlink xmlns:r="http://schemas.openxmlformats.org/officeDocument/2006/relationships" ref="A57" r:id="rId9"/>
  </hyperlinks>
  <pageMargins left="0.75" right="0.75" top="1" bottom="1" header="0.5" footer="0.5"/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2026-05-12T15:03:36Z</dcterms:created>
  <dcterms:modified xsi:type="dcterms:W3CDTF">2026-05-12T15:03:36Z</dcterms:modified>
</cp:coreProperties>
</file>